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2dc3494b87b89a/Desktop/Ákos egyetem/info projekt/"/>
    </mc:Choice>
  </mc:AlternateContent>
  <xr:revisionPtr revIDLastSave="0" documentId="8_{58082635-9C12-404F-8C40-CD7505362E4E}" xr6:coauthVersionLast="47" xr6:coauthVersionMax="47" xr10:uidLastSave="{00000000-0000-0000-0000-000000000000}"/>
  <bookViews>
    <workbookView xWindow="-110" yWindow="-110" windowWidth="19420" windowHeight="10420" activeTab="1" xr2:uid="{3258CA4B-6938-497D-BD70-CA6EE8DA338D}"/>
  </bookViews>
  <sheets>
    <sheet name="Hallgatók" sheetId="1" r:id="rId1"/>
    <sheet name="Összesíté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2" l="1"/>
  <c r="E4" i="2"/>
  <c r="E3" i="2"/>
  <c r="E2" i="2"/>
  <c r="B2" i="2"/>
  <c r="G3" i="1"/>
  <c r="G4" i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H3" i="1"/>
  <c r="H4" i="1"/>
  <c r="G2" i="1"/>
  <c r="B3" i="2" l="1"/>
  <c r="H2" i="1"/>
  <c r="B4" i="2" l="1"/>
  <c r="B5" i="2"/>
  <c r="B6" i="2"/>
  <c r="B7" i="2"/>
  <c r="B8" i="2"/>
</calcChain>
</file>

<file path=xl/sharedStrings.xml><?xml version="1.0" encoding="utf-8"?>
<sst xmlns="http://schemas.openxmlformats.org/spreadsheetml/2006/main" count="60" uniqueCount="55">
  <si>
    <t>Név</t>
  </si>
  <si>
    <t>Jelentkezés dátuma</t>
  </si>
  <si>
    <t>1. hét</t>
  </si>
  <si>
    <t>2. hét</t>
  </si>
  <si>
    <t>3. hét</t>
  </si>
  <si>
    <t>4. hét</t>
  </si>
  <si>
    <t>Kovács Anna</t>
  </si>
  <si>
    <t>Nagy Péter</t>
  </si>
  <si>
    <t>Tóth Réka</t>
  </si>
  <si>
    <t>Szabó Bence</t>
  </si>
  <si>
    <t>Horváth Dóra</t>
  </si>
  <si>
    <t>Varga Márk</t>
  </si>
  <si>
    <t>Kiss Zsófia</t>
  </si>
  <si>
    <t>Molnár Dávid</t>
  </si>
  <si>
    <t>Németh Luca</t>
  </si>
  <si>
    <t>Farkas Gergő</t>
  </si>
  <si>
    <t>Balogh Eszter</t>
  </si>
  <si>
    <t>Takács Máté</t>
  </si>
  <si>
    <t>Papp Hanna</t>
  </si>
  <si>
    <t>Juhász Levente</t>
  </si>
  <si>
    <t>Mészáros Nóra</t>
  </si>
  <si>
    <t>Oláh Ádám</t>
  </si>
  <si>
    <t>Simon Boglárka</t>
  </si>
  <si>
    <t>Lakatos Noel</t>
  </si>
  <si>
    <t>Rácz Fanni</t>
  </si>
  <si>
    <t>Orbán Kristóf</t>
  </si>
  <si>
    <t>Barta Lilla</t>
  </si>
  <si>
    <t>Sipos Attila</t>
  </si>
  <si>
    <t>Kelemen Vivien</t>
  </si>
  <si>
    <t>Vincze Roland</t>
  </si>
  <si>
    <t>Gál Dorina</t>
  </si>
  <si>
    <t>Fodor Tamás</t>
  </si>
  <si>
    <t>Pálfi Gréta</t>
  </si>
  <si>
    <t>Veres Patrik</t>
  </si>
  <si>
    <t>Bognár Petra</t>
  </si>
  <si>
    <t>Kádár Zoltán</t>
  </si>
  <si>
    <t>Érdemjegy</t>
  </si>
  <si>
    <t>Átlag</t>
  </si>
  <si>
    <t>-</t>
  </si>
  <si>
    <t>Érték</t>
  </si>
  <si>
    <t>Mutató</t>
  </si>
  <si>
    <t>Összes Pontszám</t>
  </si>
  <si>
    <t>Átlag Pontszám</t>
  </si>
  <si>
    <t>Hét</t>
  </si>
  <si>
    <t>Átlag pont</t>
  </si>
  <si>
    <t>1.Hét</t>
  </si>
  <si>
    <t>2.Hét</t>
  </si>
  <si>
    <t>3.Hét</t>
  </si>
  <si>
    <t>4.Hét</t>
  </si>
  <si>
    <t>5-ösök száma</t>
  </si>
  <si>
    <t xml:space="preserve"> 4-esek száma</t>
  </si>
  <si>
    <t xml:space="preserve"> 3-asok száma</t>
  </si>
  <si>
    <t xml:space="preserve"> 2-esek száma</t>
  </si>
  <si>
    <t>1-esek száma</t>
  </si>
  <si>
    <t>Pont határ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</si>
</sst>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charset val="238"/>
      <scheme val="minor"/>
    </font>
    <font>
      <b/>
      <sz val="11"/>
      <name val="Calibri"/>
    </font>
    <font>
      <b/>
      <sz val="1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2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/>
    <xf numFmtId="164" fontId="0" fillId="0" borderId="1" xfId="0" applyNumberFormat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Összesítés!$E$1</c:f>
              <c:strCache>
                <c:ptCount val="1"/>
                <c:pt idx="0">
                  <c:v>Átlag pont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9AC-4DD5-9DC4-09F130B5902C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9AC-4DD5-9DC4-09F130B5902C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9AC-4DD5-9DC4-09F130B5902C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9AC-4DD5-9DC4-09F130B5902C}"/>
              </c:ext>
            </c:extLst>
          </c:dPt>
          <c:cat>
            <c:strRef>
              <c:f>Összesítés!$D$2:$D$5</c:f>
              <c:strCache>
                <c:ptCount val="4"/>
                <c:pt idx="0">
                  <c:v>1.Hét</c:v>
                </c:pt>
                <c:pt idx="1">
                  <c:v>2.Hét</c:v>
                </c:pt>
                <c:pt idx="2">
                  <c:v>3.Hét</c:v>
                </c:pt>
                <c:pt idx="3">
                  <c:v>4.Hét</c:v>
                </c:pt>
              </c:strCache>
            </c:strRef>
          </c:cat>
          <c:val>
            <c:numRef>
              <c:f>Összesítés!$E$2:$E$5</c:f>
              <c:numCache>
                <c:formatCode>General</c:formatCode>
                <c:ptCount val="4"/>
                <c:pt idx="0">
                  <c:v>72.566666666666663</c:v>
                </c:pt>
                <c:pt idx="1">
                  <c:v>66.833333333333329</c:v>
                </c:pt>
                <c:pt idx="2">
                  <c:v>69.066666666666663</c:v>
                </c:pt>
                <c:pt idx="3">
                  <c:v>65.900000000000006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AC-4DD5-9DC4-09F130B59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6290783"/>
        <c:axId val="1271695551"/>
      </c:barChart>
      <c:catAx>
        <c:axId val="152629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71695551"/>
        <c:crosses val="autoZero"/>
        <c:auto val="1"/>
        <c:lblAlgn val="ctr"/>
        <c:lblOffset val="100"/>
        <c:noMultiLvlLbl val="0"/>
      </c:catAx>
      <c:valAx>
        <c:axId val="127169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52629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Érdemjegyek eloszlása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Összesítés!$A$4:$A$8</c:f>
              <c:strCache>
                <c:ptCount val="5"/>
                <c:pt idx="0">
                  <c:v>5-ösök száma</c:v>
                </c:pt>
                <c:pt idx="1">
                  <c:v> 4-esek száma</c:v>
                </c:pt>
                <c:pt idx="2">
                  <c:v> 3-asok száma</c:v>
                </c:pt>
                <c:pt idx="3">
                  <c:v> 2-esek száma</c:v>
                </c:pt>
                <c:pt idx="4">
                  <c:v>1-esek száma</c:v>
                </c:pt>
              </c:strCache>
            </c:strRef>
          </c:cat>
          <c:val>
            <c:numRef>
              <c:f>Összesítés!$B$4:$B$8</c:f>
              <c:numCache>
                <c:formatCode>General</c:formatCode>
                <c:ptCount val="5"/>
                <c:pt idx="0">
                  <c:v>2</c:v>
                </c:pt>
                <c:pt idx="1">
                  <c:v>10</c:v>
                </c:pt>
                <c:pt idx="2">
                  <c:v>11</c:v>
                </c:pt>
                <c:pt idx="3">
                  <c:v>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66-4766-8829-A485C8691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77258</xdr:colOff>
      <xdr:row>0</xdr:row>
      <xdr:rowOff>17638</xdr:rowOff>
    </xdr:from>
    <xdr:to>
      <xdr:col>12</xdr:col>
      <xdr:colOff>379236</xdr:colOff>
      <xdr:row>14</xdr:row>
      <xdr:rowOff>182033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6FD9BFEA-CF93-DB8C-6BEB-D1BE1A687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6350</xdr:colOff>
      <xdr:row>0</xdr:row>
      <xdr:rowOff>115006</xdr:rowOff>
    </xdr:from>
    <xdr:to>
      <xdr:col>19</xdr:col>
      <xdr:colOff>288572</xdr:colOff>
      <xdr:row>13</xdr:row>
      <xdr:rowOff>153105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B239E23D-6180-F6A0-CBB3-A49A1B0337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74684-F94C-4492-9A9D-074781D8E81C}">
  <dimension ref="A1:N31"/>
  <sheetViews>
    <sheetView workbookViewId="0"/>
  </sheetViews>
  <sheetFormatPr defaultRowHeight="14.5" x14ac:dyDescent="0.35"/>
  <cols>
    <col min="1" max="1" width="13.26953125" bestFit="1" customWidth="1"/>
    <col min="2" max="2" width="17.54296875" bestFit="1" customWidth="1"/>
    <col min="8" max="8" width="9.6328125" bestFit="1" customWidth="1"/>
    <col min="13" max="13" width="9.81640625" bestFit="1" customWidth="1"/>
    <col min="14" max="14" width="9.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37</v>
      </c>
      <c r="H1" s="7" t="s">
        <v>36</v>
      </c>
      <c r="K1" s="4" t="s">
        <v>54</v>
      </c>
      <c r="L1" s="4"/>
      <c r="M1" s="4"/>
      <c r="N1" s="1" t="s">
        <v>36</v>
      </c>
    </row>
    <row r="2" spans="1:14" x14ac:dyDescent="0.35">
      <c r="A2" s="2" t="s">
        <v>6</v>
      </c>
      <c r="B2" s="8">
        <v>46047</v>
      </c>
      <c r="C2" s="2">
        <v>48</v>
      </c>
      <c r="D2" s="2">
        <v>79</v>
      </c>
      <c r="E2" s="2">
        <v>89</v>
      </c>
      <c r="F2" s="2">
        <v>85</v>
      </c>
      <c r="G2" s="3">
        <f>AVERAGE(C2:F2)</f>
        <v>75.25</v>
      </c>
      <c r="H2" s="2">
        <f>VLOOKUP(G2,$K$2:$N$6,4)</f>
        <v>4</v>
      </c>
      <c r="K2" s="2">
        <v>0</v>
      </c>
      <c r="L2" s="5" t="s">
        <v>38</v>
      </c>
      <c r="M2" s="2">
        <v>50</v>
      </c>
      <c r="N2" s="2">
        <v>1</v>
      </c>
    </row>
    <row r="3" spans="1:14" x14ac:dyDescent="0.35">
      <c r="A3" s="2" t="s">
        <v>7</v>
      </c>
      <c r="B3" s="8">
        <v>46032</v>
      </c>
      <c r="C3" s="2">
        <v>66</v>
      </c>
      <c r="D3" s="2">
        <v>79</v>
      </c>
      <c r="E3" s="2">
        <v>43</v>
      </c>
      <c r="F3" s="2">
        <v>81</v>
      </c>
      <c r="G3" s="3">
        <f t="shared" ref="G3:G31" si="0">AVERAGE(C3:F3)</f>
        <v>67.25</v>
      </c>
      <c r="H3" s="2">
        <f t="shared" ref="H3:H31" si="1">VLOOKUP(G3,$K$2:$N$6,4)</f>
        <v>3</v>
      </c>
      <c r="K3" s="2">
        <v>51</v>
      </c>
      <c r="L3" s="6" t="s">
        <v>38</v>
      </c>
      <c r="M3" s="2">
        <v>60</v>
      </c>
      <c r="N3" s="2">
        <v>2</v>
      </c>
    </row>
    <row r="4" spans="1:14" x14ac:dyDescent="0.35">
      <c r="A4" s="2" t="s">
        <v>8</v>
      </c>
      <c r="B4" s="8">
        <v>46103</v>
      </c>
      <c r="C4" s="2">
        <v>96</v>
      </c>
      <c r="D4" s="2">
        <v>47</v>
      </c>
      <c r="E4" s="2">
        <v>85</v>
      </c>
      <c r="F4" s="2">
        <v>47</v>
      </c>
      <c r="G4" s="3">
        <f t="shared" si="0"/>
        <v>68.75</v>
      </c>
      <c r="H4" s="2">
        <f t="shared" si="1"/>
        <v>3</v>
      </c>
      <c r="K4" s="2">
        <v>61</v>
      </c>
      <c r="L4" s="6" t="s">
        <v>38</v>
      </c>
      <c r="M4" s="2">
        <v>70</v>
      </c>
      <c r="N4" s="2">
        <v>3</v>
      </c>
    </row>
    <row r="5" spans="1:14" x14ac:dyDescent="0.35">
      <c r="A5" s="2" t="s">
        <v>9</v>
      </c>
      <c r="B5" s="8">
        <v>46192</v>
      </c>
      <c r="C5" s="2">
        <v>77</v>
      </c>
      <c r="D5" s="2">
        <v>41</v>
      </c>
      <c r="E5" s="2">
        <v>51</v>
      </c>
      <c r="F5" s="2">
        <v>73</v>
      </c>
      <c r="G5" s="3">
        <f t="shared" si="0"/>
        <v>60.5</v>
      </c>
      <c r="H5" s="2">
        <f t="shared" si="1"/>
        <v>2</v>
      </c>
      <c r="K5" s="2">
        <v>71</v>
      </c>
      <c r="L5" s="6" t="s">
        <v>38</v>
      </c>
      <c r="M5" s="2">
        <v>80</v>
      </c>
      <c r="N5" s="2">
        <v>4</v>
      </c>
    </row>
    <row r="6" spans="1:14" x14ac:dyDescent="0.35">
      <c r="A6" s="2" t="s">
        <v>10</v>
      </c>
      <c r="B6" s="8">
        <v>46187</v>
      </c>
      <c r="C6" s="2">
        <v>94</v>
      </c>
      <c r="D6" s="2">
        <v>53</v>
      </c>
      <c r="E6" s="2">
        <v>100</v>
      </c>
      <c r="F6" s="2">
        <v>76</v>
      </c>
      <c r="G6" s="3">
        <f t="shared" si="0"/>
        <v>80.75</v>
      </c>
      <c r="H6" s="2">
        <f t="shared" si="1"/>
        <v>4</v>
      </c>
      <c r="K6" s="2">
        <v>81</v>
      </c>
      <c r="L6" s="6" t="s">
        <v>38</v>
      </c>
      <c r="M6" s="2">
        <v>100</v>
      </c>
      <c r="N6" s="2">
        <v>5</v>
      </c>
    </row>
    <row r="7" spans="1:14" x14ac:dyDescent="0.35">
      <c r="A7" s="2" t="s">
        <v>11</v>
      </c>
      <c r="B7" s="8">
        <v>46094</v>
      </c>
      <c r="C7" s="2">
        <v>83</v>
      </c>
      <c r="D7" s="2">
        <v>99</v>
      </c>
      <c r="E7" s="2">
        <v>72</v>
      </c>
      <c r="F7" s="2">
        <v>50</v>
      </c>
      <c r="G7" s="3">
        <f t="shared" si="0"/>
        <v>76</v>
      </c>
      <c r="H7" s="2">
        <f t="shared" si="1"/>
        <v>4</v>
      </c>
    </row>
    <row r="8" spans="1:14" x14ac:dyDescent="0.35">
      <c r="A8" s="2" t="s">
        <v>12</v>
      </c>
      <c r="B8" s="8">
        <v>46170</v>
      </c>
      <c r="C8" s="2">
        <v>100</v>
      </c>
      <c r="D8" s="2">
        <v>82</v>
      </c>
      <c r="E8" s="2">
        <v>52</v>
      </c>
      <c r="F8" s="2">
        <v>58</v>
      </c>
      <c r="G8" s="3">
        <f t="shared" si="0"/>
        <v>73</v>
      </c>
      <c r="H8" s="2">
        <f t="shared" si="1"/>
        <v>4</v>
      </c>
    </row>
    <row r="9" spans="1:14" x14ac:dyDescent="0.35">
      <c r="A9" s="2" t="s">
        <v>13</v>
      </c>
      <c r="B9" s="8">
        <v>46060</v>
      </c>
      <c r="C9" s="2">
        <v>96</v>
      </c>
      <c r="D9" s="2">
        <v>79</v>
      </c>
      <c r="E9" s="2">
        <v>92</v>
      </c>
      <c r="F9" s="2">
        <v>91</v>
      </c>
      <c r="G9" s="3">
        <f t="shared" si="0"/>
        <v>89.5</v>
      </c>
      <c r="H9" s="2">
        <f t="shared" si="1"/>
        <v>5</v>
      </c>
    </row>
    <row r="10" spans="1:14" x14ac:dyDescent="0.35">
      <c r="A10" s="2" t="s">
        <v>14</v>
      </c>
      <c r="B10" s="8">
        <v>46148</v>
      </c>
      <c r="C10" s="2">
        <v>61</v>
      </c>
      <c r="D10" s="2">
        <v>52</v>
      </c>
      <c r="E10" s="2">
        <v>87</v>
      </c>
      <c r="F10" s="2">
        <v>51</v>
      </c>
      <c r="G10" s="3">
        <f t="shared" si="0"/>
        <v>62.75</v>
      </c>
      <c r="H10" s="2">
        <f t="shared" si="1"/>
        <v>3</v>
      </c>
    </row>
    <row r="11" spans="1:14" x14ac:dyDescent="0.35">
      <c r="A11" s="2" t="s">
        <v>15</v>
      </c>
      <c r="B11" s="8">
        <v>46170</v>
      </c>
      <c r="C11" s="2">
        <v>48</v>
      </c>
      <c r="D11" s="2">
        <v>40</v>
      </c>
      <c r="E11" s="2">
        <v>72</v>
      </c>
      <c r="F11" s="2">
        <v>50</v>
      </c>
      <c r="G11" s="3">
        <f t="shared" si="0"/>
        <v>52.5</v>
      </c>
      <c r="H11" s="2">
        <f t="shared" si="1"/>
        <v>2</v>
      </c>
    </row>
    <row r="12" spans="1:14" x14ac:dyDescent="0.35">
      <c r="A12" s="2" t="s">
        <v>16</v>
      </c>
      <c r="B12" s="8">
        <v>46027</v>
      </c>
      <c r="C12" s="2">
        <v>63</v>
      </c>
      <c r="D12" s="2">
        <v>40</v>
      </c>
      <c r="E12" s="2">
        <v>87</v>
      </c>
      <c r="F12" s="2">
        <v>75</v>
      </c>
      <c r="G12" s="3">
        <f t="shared" si="0"/>
        <v>66.25</v>
      </c>
      <c r="H12" s="2">
        <f t="shared" si="1"/>
        <v>3</v>
      </c>
    </row>
    <row r="13" spans="1:14" x14ac:dyDescent="0.35">
      <c r="A13" s="2" t="s">
        <v>17</v>
      </c>
      <c r="B13" s="8">
        <v>46086</v>
      </c>
      <c r="C13" s="2">
        <v>87</v>
      </c>
      <c r="D13" s="2">
        <v>71</v>
      </c>
      <c r="E13" s="2">
        <v>58</v>
      </c>
      <c r="F13" s="2">
        <v>53</v>
      </c>
      <c r="G13" s="3">
        <f t="shared" si="0"/>
        <v>67.25</v>
      </c>
      <c r="H13" s="2">
        <f t="shared" si="1"/>
        <v>3</v>
      </c>
    </row>
    <row r="14" spans="1:14" x14ac:dyDescent="0.35">
      <c r="A14" s="2" t="s">
        <v>18</v>
      </c>
      <c r="B14" s="8">
        <v>46076</v>
      </c>
      <c r="C14" s="2">
        <v>41</v>
      </c>
      <c r="D14" s="2">
        <v>59</v>
      </c>
      <c r="E14" s="2">
        <v>96</v>
      </c>
      <c r="F14" s="2">
        <v>47</v>
      </c>
      <c r="G14" s="3">
        <f t="shared" si="0"/>
        <v>60.75</v>
      </c>
      <c r="H14" s="2">
        <f t="shared" si="1"/>
        <v>2</v>
      </c>
    </row>
    <row r="15" spans="1:14" x14ac:dyDescent="0.35">
      <c r="A15" s="2" t="s">
        <v>19</v>
      </c>
      <c r="B15" s="8">
        <v>46032</v>
      </c>
      <c r="C15" s="2">
        <v>91</v>
      </c>
      <c r="D15" s="2">
        <v>66</v>
      </c>
      <c r="E15" s="2">
        <v>68</v>
      </c>
      <c r="F15" s="2">
        <v>71</v>
      </c>
      <c r="G15" s="3">
        <f t="shared" si="0"/>
        <v>74</v>
      </c>
      <c r="H15" s="2">
        <f t="shared" si="1"/>
        <v>4</v>
      </c>
    </row>
    <row r="16" spans="1:14" x14ac:dyDescent="0.35">
      <c r="A16" s="2" t="s">
        <v>20</v>
      </c>
      <c r="B16" s="8">
        <v>46146</v>
      </c>
      <c r="C16" s="2">
        <v>59</v>
      </c>
      <c r="D16" s="2">
        <v>76</v>
      </c>
      <c r="E16" s="2">
        <v>42</v>
      </c>
      <c r="F16" s="2">
        <v>93</v>
      </c>
      <c r="G16" s="3">
        <f t="shared" si="0"/>
        <v>67.5</v>
      </c>
      <c r="H16" s="2">
        <f t="shared" si="1"/>
        <v>3</v>
      </c>
    </row>
    <row r="17" spans="1:8" x14ac:dyDescent="0.35">
      <c r="A17" s="2" t="s">
        <v>21</v>
      </c>
      <c r="B17" s="8">
        <v>46085</v>
      </c>
      <c r="C17" s="2">
        <v>97</v>
      </c>
      <c r="D17" s="2">
        <v>80</v>
      </c>
      <c r="E17" s="2">
        <v>64</v>
      </c>
      <c r="F17" s="2">
        <v>47</v>
      </c>
      <c r="G17" s="3">
        <f t="shared" si="0"/>
        <v>72</v>
      </c>
      <c r="H17" s="2">
        <f t="shared" si="1"/>
        <v>4</v>
      </c>
    </row>
    <row r="18" spans="1:8" x14ac:dyDescent="0.35">
      <c r="A18" s="2" t="s">
        <v>22</v>
      </c>
      <c r="B18" s="8">
        <v>46136</v>
      </c>
      <c r="C18" s="2">
        <v>50</v>
      </c>
      <c r="D18" s="2">
        <v>44</v>
      </c>
      <c r="E18" s="2">
        <v>67</v>
      </c>
      <c r="F18" s="2">
        <v>79</v>
      </c>
      <c r="G18" s="3">
        <f t="shared" si="0"/>
        <v>60</v>
      </c>
      <c r="H18" s="2">
        <f t="shared" si="1"/>
        <v>2</v>
      </c>
    </row>
    <row r="19" spans="1:8" x14ac:dyDescent="0.35">
      <c r="A19" s="2" t="s">
        <v>23</v>
      </c>
      <c r="B19" s="8">
        <v>46198</v>
      </c>
      <c r="C19" s="2">
        <v>44</v>
      </c>
      <c r="D19" s="2">
        <v>82</v>
      </c>
      <c r="E19" s="2">
        <v>99</v>
      </c>
      <c r="F19" s="2">
        <v>49</v>
      </c>
      <c r="G19" s="3">
        <f t="shared" si="0"/>
        <v>68.5</v>
      </c>
      <c r="H19" s="2">
        <f t="shared" si="1"/>
        <v>3</v>
      </c>
    </row>
    <row r="20" spans="1:8" x14ac:dyDescent="0.35">
      <c r="A20" s="2" t="s">
        <v>24</v>
      </c>
      <c r="B20" s="8">
        <v>46177</v>
      </c>
      <c r="C20" s="2">
        <v>84</v>
      </c>
      <c r="D20" s="2">
        <v>64</v>
      </c>
      <c r="E20" s="2">
        <v>42</v>
      </c>
      <c r="F20" s="2">
        <v>50</v>
      </c>
      <c r="G20" s="3">
        <f t="shared" si="0"/>
        <v>60</v>
      </c>
      <c r="H20" s="2">
        <f t="shared" si="1"/>
        <v>2</v>
      </c>
    </row>
    <row r="21" spans="1:8" x14ac:dyDescent="0.35">
      <c r="A21" s="2" t="s">
        <v>25</v>
      </c>
      <c r="B21" s="8">
        <v>46166</v>
      </c>
      <c r="C21" s="2">
        <v>80</v>
      </c>
      <c r="D21" s="2">
        <v>91</v>
      </c>
      <c r="E21" s="2">
        <v>57</v>
      </c>
      <c r="F21" s="2">
        <v>89</v>
      </c>
      <c r="G21" s="3">
        <f t="shared" si="0"/>
        <v>79.25</v>
      </c>
      <c r="H21" s="2">
        <f t="shared" si="1"/>
        <v>4</v>
      </c>
    </row>
    <row r="22" spans="1:8" x14ac:dyDescent="0.35">
      <c r="A22" s="2" t="s">
        <v>26</v>
      </c>
      <c r="B22" s="8">
        <v>46149</v>
      </c>
      <c r="C22" s="2">
        <v>65</v>
      </c>
      <c r="D22" s="2">
        <v>94</v>
      </c>
      <c r="E22" s="2">
        <v>77</v>
      </c>
      <c r="F22" s="2">
        <v>60</v>
      </c>
      <c r="G22" s="3">
        <f t="shared" si="0"/>
        <v>74</v>
      </c>
      <c r="H22" s="2">
        <f t="shared" si="1"/>
        <v>4</v>
      </c>
    </row>
    <row r="23" spans="1:8" x14ac:dyDescent="0.35">
      <c r="A23" s="2" t="s">
        <v>27</v>
      </c>
      <c r="B23" s="8">
        <v>46121</v>
      </c>
      <c r="C23" s="2">
        <v>92</v>
      </c>
      <c r="D23" s="2">
        <v>50</v>
      </c>
      <c r="E23" s="2">
        <v>44</v>
      </c>
      <c r="F23" s="2">
        <v>81</v>
      </c>
      <c r="G23" s="3">
        <f t="shared" si="0"/>
        <v>66.75</v>
      </c>
      <c r="H23" s="2">
        <f t="shared" si="1"/>
        <v>3</v>
      </c>
    </row>
    <row r="24" spans="1:8" x14ac:dyDescent="0.35">
      <c r="A24" s="2" t="s">
        <v>28</v>
      </c>
      <c r="B24" s="8">
        <v>46112</v>
      </c>
      <c r="C24" s="2">
        <v>58</v>
      </c>
      <c r="D24" s="2">
        <v>65</v>
      </c>
      <c r="E24" s="2">
        <v>83</v>
      </c>
      <c r="F24" s="2">
        <v>94</v>
      </c>
      <c r="G24" s="3">
        <f t="shared" si="0"/>
        <v>75</v>
      </c>
      <c r="H24" s="2">
        <f t="shared" si="1"/>
        <v>4</v>
      </c>
    </row>
    <row r="25" spans="1:8" x14ac:dyDescent="0.35">
      <c r="A25" s="2" t="s">
        <v>29</v>
      </c>
      <c r="B25" s="8">
        <v>46182</v>
      </c>
      <c r="C25" s="2">
        <v>45</v>
      </c>
      <c r="D25" s="2">
        <v>65</v>
      </c>
      <c r="E25" s="2">
        <v>72</v>
      </c>
      <c r="F25" s="2">
        <v>62</v>
      </c>
      <c r="G25" s="3">
        <f t="shared" si="0"/>
        <v>61</v>
      </c>
      <c r="H25" s="2">
        <f t="shared" si="1"/>
        <v>3</v>
      </c>
    </row>
    <row r="26" spans="1:8" x14ac:dyDescent="0.35">
      <c r="A26" s="2" t="s">
        <v>30</v>
      </c>
      <c r="B26" s="8">
        <v>46119</v>
      </c>
      <c r="C26" s="2">
        <v>96</v>
      </c>
      <c r="D26" s="2">
        <v>72</v>
      </c>
      <c r="E26" s="2">
        <v>99</v>
      </c>
      <c r="F26" s="2">
        <v>68</v>
      </c>
      <c r="G26" s="3">
        <f t="shared" si="0"/>
        <v>83.75</v>
      </c>
      <c r="H26" s="2">
        <f t="shared" si="1"/>
        <v>5</v>
      </c>
    </row>
    <row r="27" spans="1:8" x14ac:dyDescent="0.35">
      <c r="A27" s="2" t="s">
        <v>31</v>
      </c>
      <c r="B27" s="8">
        <v>46026</v>
      </c>
      <c r="C27" s="2">
        <v>90</v>
      </c>
      <c r="D27" s="2">
        <v>87</v>
      </c>
      <c r="E27" s="2">
        <v>50</v>
      </c>
      <c r="F27" s="2">
        <v>58</v>
      </c>
      <c r="G27" s="3">
        <f t="shared" si="0"/>
        <v>71.25</v>
      </c>
      <c r="H27" s="2">
        <f t="shared" si="1"/>
        <v>4</v>
      </c>
    </row>
    <row r="28" spans="1:8" x14ac:dyDescent="0.35">
      <c r="A28" s="2" t="s">
        <v>32</v>
      </c>
      <c r="B28" s="8">
        <v>46048</v>
      </c>
      <c r="C28" s="2">
        <v>60</v>
      </c>
      <c r="D28" s="2">
        <v>58</v>
      </c>
      <c r="E28" s="2">
        <v>47</v>
      </c>
      <c r="F28" s="2">
        <v>50</v>
      </c>
      <c r="G28" s="3">
        <f t="shared" si="0"/>
        <v>53.75</v>
      </c>
      <c r="H28" s="2">
        <f t="shared" si="1"/>
        <v>2</v>
      </c>
    </row>
    <row r="29" spans="1:8" x14ac:dyDescent="0.35">
      <c r="A29" s="2" t="s">
        <v>33</v>
      </c>
      <c r="B29" s="8">
        <v>46076</v>
      </c>
      <c r="C29" s="2">
        <v>72</v>
      </c>
      <c r="D29" s="2">
        <v>53</v>
      </c>
      <c r="E29" s="2">
        <v>45</v>
      </c>
      <c r="F29" s="2">
        <v>70</v>
      </c>
      <c r="G29" s="3">
        <f t="shared" si="0"/>
        <v>60</v>
      </c>
      <c r="H29" s="2">
        <f t="shared" si="1"/>
        <v>2</v>
      </c>
    </row>
    <row r="30" spans="1:8" x14ac:dyDescent="0.35">
      <c r="A30" s="2" t="s">
        <v>34</v>
      </c>
      <c r="B30" s="8">
        <v>46066</v>
      </c>
      <c r="C30" s="2">
        <v>82</v>
      </c>
      <c r="D30" s="2">
        <v>53</v>
      </c>
      <c r="E30" s="2">
        <v>74</v>
      </c>
      <c r="F30" s="2">
        <v>46</v>
      </c>
      <c r="G30" s="3">
        <f t="shared" si="0"/>
        <v>63.75</v>
      </c>
      <c r="H30" s="2">
        <f t="shared" si="1"/>
        <v>3</v>
      </c>
    </row>
    <row r="31" spans="1:8" x14ac:dyDescent="0.35">
      <c r="A31" s="2" t="s">
        <v>35</v>
      </c>
      <c r="B31" s="8">
        <v>46146</v>
      </c>
      <c r="C31" s="2">
        <v>52</v>
      </c>
      <c r="D31" s="2">
        <v>84</v>
      </c>
      <c r="E31" s="2">
        <v>58</v>
      </c>
      <c r="F31" s="2">
        <v>73</v>
      </c>
      <c r="G31" s="3">
        <f t="shared" si="0"/>
        <v>66.75</v>
      </c>
      <c r="H31" s="2">
        <f t="shared" si="1"/>
        <v>3</v>
      </c>
    </row>
  </sheetData>
  <mergeCells count="1">
    <mergeCell ref="K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2490A-C8EF-484E-A5D6-E85032B563AF}">
  <dimension ref="A1:E8"/>
  <sheetViews>
    <sheetView tabSelected="1" zoomScale="90" zoomScaleNormal="90" workbookViewId="0">
      <selection activeCell="E17" sqref="E17"/>
    </sheetView>
  </sheetViews>
  <sheetFormatPr defaultRowHeight="14.5" x14ac:dyDescent="0.35"/>
  <cols>
    <col min="1" max="1" width="15.1796875" bestFit="1" customWidth="1"/>
    <col min="2" max="2" width="10.36328125" bestFit="1" customWidth="1"/>
  </cols>
  <sheetData>
    <row r="1" spans="1:5" x14ac:dyDescent="0.35">
      <c r="A1" s="1" t="s">
        <v>40</v>
      </c>
      <c r="B1" s="1" t="s">
        <v>39</v>
      </c>
      <c r="D1" s="1" t="s">
        <v>43</v>
      </c>
      <c r="E1" s="1" t="s">
        <v>44</v>
      </c>
    </row>
    <row r="2" spans="1:5" x14ac:dyDescent="0.35">
      <c r="A2" s="2" t="s">
        <v>41</v>
      </c>
      <c r="B2" s="2">
        <f>SUM(Hallgatók!C2:F31)</f>
        <v>8231</v>
      </c>
      <c r="D2" s="2" t="s">
        <v>45</v>
      </c>
      <c r="E2" s="2">
        <f>AVERAGE(Hallgatók!C2:C31)</f>
        <v>72.566666666666663</v>
      </c>
    </row>
    <row r="3" spans="1:5" x14ac:dyDescent="0.35">
      <c r="A3" s="2" t="s">
        <v>42</v>
      </c>
      <c r="B3" s="3">
        <f>AVERAGE(Hallgatók!G2:G31)</f>
        <v>68.591666666666669</v>
      </c>
      <c r="D3" s="2" t="s">
        <v>46</v>
      </c>
      <c r="E3" s="2">
        <f>AVERAGE(Hallgatók!D2:D31)</f>
        <v>66.833333333333329</v>
      </c>
    </row>
    <row r="4" spans="1:5" x14ac:dyDescent="0.35">
      <c r="A4" s="2" t="s">
        <v>49</v>
      </c>
      <c r="B4" s="2">
        <f>COUNTIF(Hallgatók!$H$2:$H$31,5)</f>
        <v>2</v>
      </c>
      <c r="D4" s="2" t="s">
        <v>47</v>
      </c>
      <c r="E4" s="2">
        <f>AVERAGE(Hallgatók!E2:E31)</f>
        <v>69.066666666666663</v>
      </c>
    </row>
    <row r="5" spans="1:5" x14ac:dyDescent="0.35">
      <c r="A5" s="2" t="s">
        <v>50</v>
      </c>
      <c r="B5" s="2">
        <f>COUNTIF(Hallgatók!$H$2:$H$31,4)</f>
        <v>10</v>
      </c>
      <c r="D5" s="2" t="s">
        <v>48</v>
      </c>
      <c r="E5" s="2">
        <f>AVERAGE(Hallgatók!F2:F31)</f>
        <v>65.900000000000006</v>
      </c>
    </row>
    <row r="6" spans="1:5" x14ac:dyDescent="0.35">
      <c r="A6" s="2" t="s">
        <v>51</v>
      </c>
      <c r="B6" s="2">
        <f>COUNTIF(Hallgatók!$H$2:$H$31,3)</f>
        <v>11</v>
      </c>
    </row>
    <row r="7" spans="1:5" x14ac:dyDescent="0.35">
      <c r="A7" s="2" t="s">
        <v>52</v>
      </c>
      <c r="B7" s="2">
        <f>COUNTIF(Hallgatók!$H$2:$H$31,2)</f>
        <v>7</v>
      </c>
    </row>
    <row r="8" spans="1:5" x14ac:dyDescent="0.35">
      <c r="A8" s="2" t="s">
        <v>53</v>
      </c>
      <c r="B8" s="2">
        <f>COUNTIF(Hallgatók!$H$2:$H$31,1)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Hallgatók</vt:lpstr>
      <vt:lpstr>Összesítés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Akos Jonas</dc:creator>
  <cp:lastModifiedBy>Akos Jonas</cp:lastModifiedBy>
  <dcterms:created xsi:type="dcterms:W3CDTF">2026-10-16T07:44:31Z</dcterms:created>
  <dcterms:modified xsi:type="dcterms:W3CDTF">2026-10-16T11:58:47Z</dcterms:modified>
</cp:coreProperties>
</file>